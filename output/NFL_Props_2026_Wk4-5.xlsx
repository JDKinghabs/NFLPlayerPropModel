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Elite vs Weak D" sheetId="1" state="visible" r:id="rId1"/>
    <sheet name="2 Back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%;-0%;0%"/>
    <numFmt numFmtId="166" formatCode="+0.0;-0.0;0.0"/>
  </numFmts>
  <fonts count="9">
    <font>
      <name val="Calibri"/>
      <family val="2"/>
      <color theme="1"/>
      <sz val="11"/>
      <scheme val="minor"/>
    </font>
    <font>
      <name val="Calibri"/>
      <b val="1"/>
      <sz val="15"/>
    </font>
    <font>
      <name val="Calibri"/>
      <color rgb="00404040"/>
      <sz val="10"/>
    </font>
    <font>
      <name val="Calibri"/>
      <i val="1"/>
      <color rgb="00595959"/>
      <sz val="9"/>
    </font>
    <font>
      <name val="Calibri"/>
      <b val="1"/>
      <color rgb="00FFFFFF"/>
      <sz val="12"/>
    </font>
    <font>
      <name val="Calibri"/>
      <b val="1"/>
      <sz val="9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4B183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7F3F00"/>
      </patternFill>
    </fill>
  </fills>
  <borders count="5">
    <border>
      <left/>
      <right/>
      <top/>
      <bottom/>
      <diagonal/>
    </border>
    <border>
      <bottom style="medium">
        <color rgb="001F4E78"/>
      </bottom>
    </border>
    <border>
      <bottom style="thin">
        <color rgb="00D9D9D9"/>
      </bottom>
    </border>
    <border>
      <bottom style="medium">
        <color rgb="00375623"/>
      </bottom>
    </border>
    <border>
      <bottom style="medium">
        <color rgb="007F3F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4" fillId="7" borderId="0" applyAlignment="1" pivotButton="0" quotePrefix="0" xfId="0">
      <alignment horizontal="left" vertical="center" indent="1"/>
    </xf>
    <xf numFmtId="0" fontId="4" fillId="9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 wrapText="1"/>
    </xf>
    <xf numFmtId="0" fontId="5" fillId="8" borderId="3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" fontId="6" fillId="0" borderId="2" applyAlignment="1" pivotButton="0" quotePrefix="0" xfId="0">
      <alignment horizontal="center" vertical="center"/>
    </xf>
    <xf numFmtId="3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1" fontId="6" fillId="4" borderId="2" applyAlignment="1" pivotButton="0" quotePrefix="0" xfId="0">
      <alignment horizontal="center" vertical="center"/>
    </xf>
    <xf numFmtId="165" fontId="6" fillId="0" borderId="2" applyAlignment="1" pivotButton="0" quotePrefix="0" xfId="0">
      <alignment horizontal="center" vertical="center"/>
    </xf>
    <xf numFmtId="1" fontId="7" fillId="0" borderId="2" applyAlignment="1" pivotButton="0" quotePrefix="0" xfId="0">
      <alignment horizontal="center" vertical="center"/>
    </xf>
    <xf numFmtId="164" fontId="0" fillId="5" borderId="2" applyAlignment="1" pivotButton="0" quotePrefix="0" xfId="0">
      <alignment horizontal="center"/>
    </xf>
    <xf numFmtId="166" fontId="8" fillId="0" borderId="2" applyAlignment="1" pivotButton="0" quotePrefix="0" xfId="0">
      <alignment horizontal="center"/>
    </xf>
    <xf numFmtId="1" fontId="6" fillId="6" borderId="2" applyAlignment="1" pivotButton="0" quotePrefix="0" xfId="0">
      <alignment horizontal="center" vertical="center"/>
    </xf>
    <xf numFmtId="9" fontId="6" fillId="0" borderId="2" applyAlignment="1" pivotButton="0" quotePrefix="0" xfId="0">
      <alignment horizontal="center" vertical="center"/>
    </xf>
    <xf numFmtId="2" fontId="6" fillId="0" borderId="2" applyAlignment="1" pivotButton="0" quotePrefix="0" xfId="0">
      <alignment horizontal="center" vertical="center"/>
    </xf>
    <xf numFmtId="1" fontId="6" fillId="3" borderId="2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color rgb="00006100"/>
      </font>
      <fill>
        <patternFill patternType="solid">
          <bgColor rgb="00C6EFCE"/>
        </patternFill>
      </fill>
    </dxf>
    <dxf>
      <font>
        <color rgb="009C0006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A11"/>
  <sheetViews>
    <sheetView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5" customWidth="1" min="2" max="2"/>
    <col width="6" customWidth="1" min="3" max="3"/>
    <col width="15" customWidth="1" min="4" max="4"/>
    <col width="12" customWidth="1" min="5" max="5"/>
    <col width="13" customWidth="1" min="6" max="6"/>
    <col width="4" customWidth="1" min="7" max="7"/>
    <col width="4" customWidth="1" min="8" max="8"/>
    <col width="8" customWidth="1" min="9" max="9"/>
    <col width="7" customWidth="1" min="10" max="10"/>
    <col width="7" customWidth="1" min="11" max="11"/>
    <col width="7" customWidth="1" min="12" max="12"/>
    <col width="9" customWidth="1" min="13" max="13"/>
    <col width="7" customWidth="1" min="14" max="14"/>
    <col width="7" customWidth="1" min="15" max="15"/>
    <col width="7" customWidth="1" min="16" max="16"/>
    <col width="7" customWidth="1" min="17" max="17"/>
    <col width="2" customWidth="1" min="18" max="18"/>
    <col width="20" customWidth="1" min="19" max="19"/>
    <col width="5" customWidth="1" min="20" max="20"/>
    <col width="6" customWidth="1" min="21" max="21"/>
    <col width="15" customWidth="1" min="22" max="22"/>
    <col width="12" customWidth="1" min="23" max="23"/>
    <col width="13" customWidth="1" min="24" max="24"/>
    <col width="4" customWidth="1" min="25" max="25"/>
    <col width="4" customWidth="1" min="26" max="26"/>
    <col width="8" customWidth="1" min="27" max="27"/>
    <col width="7" customWidth="1" min="28" max="28"/>
    <col width="7" customWidth="1" min="29" max="29"/>
    <col width="7" customWidth="1" min="30" max="30"/>
    <col width="9" customWidth="1" min="31" max="31"/>
    <col width="7" customWidth="1" min="32" max="32"/>
    <col width="7" customWidth="1" min="33" max="33"/>
    <col width="7" customWidth="1" min="34" max="34"/>
    <col width="7" customWidth="1" min="35" max="35"/>
    <col width="2" customWidth="1" min="36" max="36"/>
    <col width="20" customWidth="1" min="37" max="37"/>
    <col width="5" customWidth="1" min="38" max="38"/>
    <col width="6" customWidth="1" min="39" max="39"/>
    <col width="15" customWidth="1" min="40" max="40"/>
    <col width="12" customWidth="1" min="41" max="41"/>
    <col width="13" customWidth="1" min="42" max="42"/>
    <col width="4" customWidth="1" min="43" max="43"/>
    <col width="4" customWidth="1" min="44" max="44"/>
    <col width="8" customWidth="1" min="45" max="45"/>
    <col width="7" customWidth="1" min="46" max="46"/>
    <col width="7" customWidth="1" min="47" max="47"/>
    <col width="7" customWidth="1" min="48" max="48"/>
    <col width="9" customWidth="1" min="49" max="49"/>
    <col width="7" customWidth="1" min="50" max="50"/>
    <col width="7" customWidth="1" min="51" max="51"/>
    <col width="7" customWidth="1" min="52" max="52"/>
    <col width="7" customWidth="1" min="53" max="53"/>
    <col width="2" customWidth="1" min="54" max="54"/>
  </cols>
  <sheetData>
    <row r="1">
      <c r="A1" s="1" t="inlineStr">
        <is>
          <t>Elite performers vs defenses that give up the category</t>
        </is>
      </c>
    </row>
    <row r="2">
      <c r="A2" s="2" t="inlineStr">
        <is>
          <t>2026 season - weeks 4, 5 - 17 games not yet kicked off  |  stats through week 4  |  built Sun Oct 4 6:55PM ET  |  week 5 injury report not out yet - using week 4's, carried forward at historical odds</t>
        </is>
      </c>
    </row>
    <row r="3">
      <c r="A3" s="3" t="inlineStr">
        <is>
          <t>Elite = top 10 at the position by 2026 yards (QB passing, RB rushing, WR receiving). Weak defense = one of the 10 allowing the most yards to that position (Opp Rk 1 = worst).</t>
        </is>
      </c>
    </row>
    <row r="4">
      <c r="A4" s="3" t="inlineStr">
        <is>
          <t>Proj = per-game baseline (shrunk toward last year and the elite pack) x defense edge. L3 = last 3 games. Type the book number in the yellow Line column: Edge goes green when the model is above the line, red below.</t>
        </is>
      </c>
    </row>
    <row r="5" ht="20" customHeight="1">
      <c r="A5" s="4" t="inlineStr">
        <is>
          <t>QB - Passing Yards</t>
        </is>
      </c>
      <c r="S5" s="5" t="inlineStr">
        <is>
          <t>RB - Rushing Yards</t>
        </is>
      </c>
      <c r="AK5" s="6" t="inlineStr">
        <is>
          <t>WR - Receiving Yards</t>
        </is>
      </c>
    </row>
    <row r="6" ht="40" customHeight="1">
      <c r="A6" s="7" t="inlineStr">
        <is>
          <t>Player</t>
        </is>
      </c>
      <c r="B6" s="7" t="inlineStr">
        <is>
          <t>Tm</t>
        </is>
      </c>
      <c r="C6" s="7" t="inlineStr">
        <is>
          <t>Opp</t>
        </is>
      </c>
      <c r="D6" s="7" t="inlineStr">
        <is>
          <t>Kickoff</t>
        </is>
      </c>
      <c r="E6" s="7" t="inlineStr">
        <is>
          <t>Spr / Tot</t>
        </is>
      </c>
      <c r="F6" s="7" t="inlineStr">
        <is>
          <t>Inj</t>
        </is>
      </c>
      <c r="G6" s="7" t="inlineStr">
        <is>
          <t>Rk</t>
        </is>
      </c>
      <c r="H6" s="7" t="inlineStr">
        <is>
          <t>G</t>
        </is>
      </c>
      <c r="I6" s="7" t="inlineStr">
        <is>
          <t>Szn Yds</t>
        </is>
      </c>
      <c r="J6" s="7" t="inlineStr">
        <is>
          <t>YPG</t>
        </is>
      </c>
      <c r="K6" s="7" t="inlineStr">
        <is>
          <t>L3 Avg</t>
        </is>
      </c>
      <c r="L6" s="7" t="inlineStr">
        <is>
          <t>Opp Rk</t>
        </is>
      </c>
      <c r="M6" s="7" t="inlineStr">
        <is>
          <t>Opp Alw/G</t>
        </is>
      </c>
      <c r="N6" s="7" t="inlineStr">
        <is>
          <t>vs Lg</t>
        </is>
      </c>
      <c r="O6" s="7" t="inlineStr">
        <is>
          <t>Proj</t>
        </is>
      </c>
      <c r="P6" s="7" t="inlineStr">
        <is>
          <t>Line</t>
        </is>
      </c>
      <c r="Q6" s="7" t="inlineStr">
        <is>
          <t>Edge</t>
        </is>
      </c>
      <c r="S6" s="8" t="inlineStr">
        <is>
          <t>Player</t>
        </is>
      </c>
      <c r="T6" s="8" t="inlineStr">
        <is>
          <t>Tm</t>
        </is>
      </c>
      <c r="U6" s="8" t="inlineStr">
        <is>
          <t>Opp</t>
        </is>
      </c>
      <c r="V6" s="8" t="inlineStr">
        <is>
          <t>Kickoff</t>
        </is>
      </c>
      <c r="W6" s="8" t="inlineStr">
        <is>
          <t>Spr / Tot</t>
        </is>
      </c>
      <c r="X6" s="8" t="inlineStr">
        <is>
          <t>Inj</t>
        </is>
      </c>
      <c r="Y6" s="8" t="inlineStr">
        <is>
          <t>Rk</t>
        </is>
      </c>
      <c r="Z6" s="8" t="inlineStr">
        <is>
          <t>G</t>
        </is>
      </c>
      <c r="AA6" s="8" t="inlineStr">
        <is>
          <t>Szn Yds</t>
        </is>
      </c>
      <c r="AB6" s="8" t="inlineStr">
        <is>
          <t>YPG</t>
        </is>
      </c>
      <c r="AC6" s="8" t="inlineStr">
        <is>
          <t>L3 Avg</t>
        </is>
      </c>
      <c r="AD6" s="8" t="inlineStr">
        <is>
          <t>Opp Rk</t>
        </is>
      </c>
      <c r="AE6" s="8" t="inlineStr">
        <is>
          <t>Opp Alw/G</t>
        </is>
      </c>
      <c r="AF6" s="8" t="inlineStr">
        <is>
          <t>vs Lg</t>
        </is>
      </c>
      <c r="AG6" s="8" t="inlineStr">
        <is>
          <t>Proj</t>
        </is>
      </c>
      <c r="AH6" s="8" t="inlineStr">
        <is>
          <t>Line</t>
        </is>
      </c>
      <c r="AI6" s="8" t="inlineStr">
        <is>
          <t>Edge</t>
        </is>
      </c>
      <c r="AK6" s="9" t="inlineStr">
        <is>
          <t>Player</t>
        </is>
      </c>
      <c r="AL6" s="9" t="inlineStr">
        <is>
          <t>Tm</t>
        </is>
      </c>
      <c r="AM6" s="9" t="inlineStr">
        <is>
          <t>Opp</t>
        </is>
      </c>
      <c r="AN6" s="9" t="inlineStr">
        <is>
          <t>Kickoff</t>
        </is>
      </c>
      <c r="AO6" s="9" t="inlineStr">
        <is>
          <t>Spr / Tot</t>
        </is>
      </c>
      <c r="AP6" s="9" t="inlineStr">
        <is>
          <t>Inj</t>
        </is>
      </c>
      <c r="AQ6" s="9" t="inlineStr">
        <is>
          <t>Rk</t>
        </is>
      </c>
      <c r="AR6" s="9" t="inlineStr">
        <is>
          <t>G</t>
        </is>
      </c>
      <c r="AS6" s="9" t="inlineStr">
        <is>
          <t>Szn Yds</t>
        </is>
      </c>
      <c r="AT6" s="9" t="inlineStr">
        <is>
          <t>YPG</t>
        </is>
      </c>
      <c r="AU6" s="9" t="inlineStr">
        <is>
          <t>L3 Avg</t>
        </is>
      </c>
      <c r="AV6" s="9" t="inlineStr">
        <is>
          <t>Opp Rk</t>
        </is>
      </c>
      <c r="AW6" s="9" t="inlineStr">
        <is>
          <t>Opp Alw/G</t>
        </is>
      </c>
      <c r="AX6" s="9" t="inlineStr">
        <is>
          <t>vs Lg</t>
        </is>
      </c>
      <c r="AY6" s="9" t="inlineStr">
        <is>
          <t>Proj</t>
        </is>
      </c>
      <c r="AZ6" s="9" t="inlineStr">
        <is>
          <t>Line</t>
        </is>
      </c>
      <c r="BA6" s="9" t="inlineStr">
        <is>
          <t>Edge</t>
        </is>
      </c>
    </row>
    <row r="7">
      <c r="A7" s="10" t="inlineStr">
        <is>
          <t>Bryce Young</t>
        </is>
      </c>
      <c r="B7" s="11" t="inlineStr">
        <is>
          <t>CAR</t>
        </is>
      </c>
      <c r="C7" s="11" t="inlineStr">
        <is>
          <t>DET</t>
        </is>
      </c>
      <c r="D7" s="11" t="inlineStr">
        <is>
          <t>Sun 10/4 8:20p</t>
        </is>
      </c>
      <c r="E7" s="10" t="inlineStr">
        <is>
          <t>+3.5 / 51.5</t>
        </is>
      </c>
      <c r="F7" s="10" t="inlineStr"/>
      <c r="G7" s="12" t="n">
        <v>9</v>
      </c>
      <c r="H7" s="12" t="n">
        <v>3</v>
      </c>
      <c r="I7" s="13" t="n">
        <v>939</v>
      </c>
      <c r="J7" s="14" t="n">
        <v>313</v>
      </c>
      <c r="K7" s="14" t="n">
        <v>313</v>
      </c>
      <c r="L7" s="15" t="n">
        <v>1</v>
      </c>
      <c r="M7" s="14" t="n">
        <v>262.7465277777778</v>
      </c>
      <c r="N7" s="16" t="n">
        <v>0.1525267678070448</v>
      </c>
      <c r="O7" s="17" t="n">
        <v>261.0015988188683</v>
      </c>
      <c r="P7" s="18" t="n"/>
      <c r="Q7" s="19">
        <f>IF(ISNUMBER(P7),O7-P7,"")</f>
        <v/>
      </c>
      <c r="S7" s="10" t="inlineStr">
        <is>
          <t>Jahmyr Gibbs</t>
        </is>
      </c>
      <c r="T7" s="11" t="inlineStr">
        <is>
          <t>DET</t>
        </is>
      </c>
      <c r="U7" s="11" t="inlineStr">
        <is>
          <t>@CAR</t>
        </is>
      </c>
      <c r="V7" s="11" t="inlineStr">
        <is>
          <t>Sun 10/4 8:20p</t>
        </is>
      </c>
      <c r="W7" s="10" t="inlineStr">
        <is>
          <t>-3.5 / 51.5</t>
        </is>
      </c>
      <c r="X7" s="10" t="inlineStr"/>
      <c r="Y7" s="12" t="n">
        <v>9</v>
      </c>
      <c r="Z7" s="12" t="n">
        <v>3</v>
      </c>
      <c r="AA7" s="13" t="n">
        <v>307</v>
      </c>
      <c r="AB7" s="14" t="n">
        <v>102.3333333333333</v>
      </c>
      <c r="AC7" s="14" t="n">
        <v>102.3333333333333</v>
      </c>
      <c r="AD7" s="15" t="n">
        <v>1</v>
      </c>
      <c r="AE7" s="14" t="n">
        <v>115.2988153594771</v>
      </c>
      <c r="AF7" s="16" t="n">
        <v>0.23599749681731</v>
      </c>
      <c r="AG7" s="17" t="n">
        <v>96.48022467978821</v>
      </c>
      <c r="AH7" s="18" t="n"/>
      <c r="AI7" s="19">
        <f>IF(ISNUMBER(AH7),AG7-AH7,"")</f>
        <v/>
      </c>
      <c r="AK7" s="10" t="inlineStr">
        <is>
          <t>Chris Olave</t>
        </is>
      </c>
      <c r="AL7" s="11" t="inlineStr">
        <is>
          <t>NO</t>
        </is>
      </c>
      <c r="AM7" s="11" t="inlineStr">
        <is>
          <t>ATL</t>
        </is>
      </c>
      <c r="AN7" s="11" t="inlineStr">
        <is>
          <t>Mon 10/5 8:15p</t>
        </is>
      </c>
      <c r="AO7" s="10" t="inlineStr">
        <is>
          <t>-1.5 / 47.5</t>
        </is>
      </c>
      <c r="AP7" s="10" t="inlineStr"/>
      <c r="AQ7" s="12" t="n">
        <v>5</v>
      </c>
      <c r="AR7" s="12" t="n">
        <v>3</v>
      </c>
      <c r="AS7" s="13" t="n">
        <v>375</v>
      </c>
      <c r="AT7" s="14" t="n">
        <v>125</v>
      </c>
      <c r="AU7" s="14" t="n">
        <v>125</v>
      </c>
      <c r="AV7" s="20" t="n">
        <v>6</v>
      </c>
      <c r="AW7" s="14" t="n">
        <v>161.2685866013072</v>
      </c>
      <c r="AX7" s="16" t="n">
        <v>0.1220098156372895</v>
      </c>
      <c r="AY7" s="17" t="n">
        <v>95.5090203810922</v>
      </c>
      <c r="AZ7" s="18" t="n"/>
      <c r="BA7" s="19">
        <f>IF(ISNUMBER(AZ7),AY7-AZ7,"")</f>
        <v/>
      </c>
    </row>
    <row r="8">
      <c r="A8" s="10" t="inlineStr">
        <is>
          <t>Tyler Shough</t>
        </is>
      </c>
      <c r="B8" s="11" t="inlineStr">
        <is>
          <t>NO</t>
        </is>
      </c>
      <c r="C8" s="11" t="inlineStr">
        <is>
          <t>ATL</t>
        </is>
      </c>
      <c r="D8" s="11" t="inlineStr">
        <is>
          <t>Mon 10/5 8:15p</t>
        </is>
      </c>
      <c r="E8" s="10" t="inlineStr">
        <is>
          <t>-1.5 / 47.5</t>
        </is>
      </c>
      <c r="F8" s="10" t="inlineStr"/>
      <c r="G8" s="12" t="n">
        <v>10</v>
      </c>
      <c r="H8" s="12" t="n">
        <v>3</v>
      </c>
      <c r="I8" s="13" t="n">
        <v>917</v>
      </c>
      <c r="J8" s="14" t="n">
        <v>305.6666666666667</v>
      </c>
      <c r="K8" s="14" t="n">
        <v>305.6666666666667</v>
      </c>
      <c r="L8" s="20" t="n">
        <v>8</v>
      </c>
      <c r="M8" s="14" t="n">
        <v>240.0994689542484</v>
      </c>
      <c r="N8" s="16" t="n">
        <v>0.05318638174381185</v>
      </c>
      <c r="O8" s="17" t="n">
        <v>255.6222414214183</v>
      </c>
      <c r="P8" s="18" t="n"/>
      <c r="Q8" s="19">
        <f>IF(ISNUMBER(P8),O8-P8,"")</f>
        <v/>
      </c>
      <c r="S8" s="10" t="inlineStr">
        <is>
          <t>Bijan Robinson</t>
        </is>
      </c>
      <c r="T8" s="11" t="inlineStr">
        <is>
          <t>ATL</t>
        </is>
      </c>
      <c r="U8" s="11" t="inlineStr">
        <is>
          <t>@NO</t>
        </is>
      </c>
      <c r="V8" s="11" t="inlineStr">
        <is>
          <t>Mon 10/5 8:15p</t>
        </is>
      </c>
      <c r="W8" s="10" t="inlineStr">
        <is>
          <t>+1.5 / 47.5</t>
        </is>
      </c>
      <c r="X8" s="10" t="inlineStr"/>
      <c r="Y8" s="12" t="n">
        <v>5</v>
      </c>
      <c r="Z8" s="12" t="n">
        <v>3</v>
      </c>
      <c r="AA8" s="13" t="n">
        <v>349</v>
      </c>
      <c r="AB8" s="14" t="n">
        <v>116.3333333333333</v>
      </c>
      <c r="AC8" s="14" t="n">
        <v>116.3333333333333</v>
      </c>
      <c r="AD8" s="15" t="n">
        <v>3</v>
      </c>
      <c r="AE8" s="14" t="n">
        <v>104.4164624183007</v>
      </c>
      <c r="AF8" s="16" t="n">
        <v>0.119339221076656</v>
      </c>
      <c r="AG8" s="17" t="n">
        <v>100.4938186798818</v>
      </c>
      <c r="AH8" s="18" t="n"/>
      <c r="AI8" s="19">
        <f>IF(ISNUMBER(AH8),AG8-AH8,"")</f>
        <v/>
      </c>
      <c r="AK8" s="10" t="inlineStr">
        <is>
          <t>Drake London</t>
        </is>
      </c>
      <c r="AL8" s="11" t="inlineStr">
        <is>
          <t>ATL</t>
        </is>
      </c>
      <c r="AM8" s="11" t="inlineStr">
        <is>
          <t>BAL</t>
        </is>
      </c>
      <c r="AN8" s="11" t="inlineStr">
        <is>
          <t>Sun 10/11 8:20p</t>
        </is>
      </c>
      <c r="AO8" s="10" t="inlineStr"/>
      <c r="AP8" s="10" t="inlineStr"/>
      <c r="AQ8" s="12" t="n">
        <v>9</v>
      </c>
      <c r="AR8" s="12" t="n">
        <v>3</v>
      </c>
      <c r="AS8" s="13" t="n">
        <v>274</v>
      </c>
      <c r="AT8" s="14" t="n">
        <v>91.33333333333333</v>
      </c>
      <c r="AU8" s="14" t="n">
        <v>91.33333333333333</v>
      </c>
      <c r="AV8" s="15" t="n">
        <v>2</v>
      </c>
      <c r="AW8" s="14" t="n">
        <v>165.9946691176471</v>
      </c>
      <c r="AX8" s="16" t="n">
        <v>0.154891054845733</v>
      </c>
      <c r="AY8" s="17" t="n">
        <v>90.92803368531595</v>
      </c>
      <c r="AZ8" s="18" t="n"/>
      <c r="BA8" s="19">
        <f>IF(ISNUMBER(AZ8),AY8-AZ8,"")</f>
        <v/>
      </c>
    </row>
    <row r="9">
      <c r="A9" s="10" t="inlineStr">
        <is>
          <t>Aaron Rodgers</t>
        </is>
      </c>
      <c r="B9" s="11" t="inlineStr">
        <is>
          <t>PIT</t>
        </is>
      </c>
      <c r="C9" s="11" t="inlineStr">
        <is>
          <t>IND</t>
        </is>
      </c>
      <c r="D9" s="11" t="inlineStr">
        <is>
          <t>Sun 10/11 1p</t>
        </is>
      </c>
      <c r="E9" s="10" t="inlineStr">
        <is>
          <t>-1.5 / 43.5</t>
        </is>
      </c>
      <c r="F9" s="10" t="inlineStr"/>
      <c r="G9" s="12" t="n">
        <v>7</v>
      </c>
      <c r="H9" s="12" t="n">
        <v>4</v>
      </c>
      <c r="I9" s="13" t="n">
        <v>999</v>
      </c>
      <c r="J9" s="14" t="n">
        <v>249.75</v>
      </c>
      <c r="K9" s="14" t="n">
        <v>259.3333333333333</v>
      </c>
      <c r="L9" s="15" t="n">
        <v>2</v>
      </c>
      <c r="M9" s="14" t="n">
        <v>256.7483455882353</v>
      </c>
      <c r="N9" s="16" t="n">
        <v>0.1262159899250324</v>
      </c>
      <c r="O9" s="17" t="n">
        <v>252.3059617435806</v>
      </c>
      <c r="P9" s="18" t="n"/>
      <c r="Q9" s="19">
        <f>IF(ISNUMBER(P9),O9-P9,"")</f>
        <v/>
      </c>
      <c r="S9" s="10" t="inlineStr">
        <is>
          <t>Kyle Monangai</t>
        </is>
      </c>
      <c r="T9" s="11" t="inlineStr">
        <is>
          <t>CHI</t>
        </is>
      </c>
      <c r="U9" s="11" t="inlineStr">
        <is>
          <t>@GB</t>
        </is>
      </c>
      <c r="V9" s="11" t="inlineStr">
        <is>
          <t>Sun 10/11 1p</t>
        </is>
      </c>
      <c r="W9" s="10" t="inlineStr">
        <is>
          <t>+1.5 / 43.5</t>
        </is>
      </c>
      <c r="X9" s="10" t="inlineStr"/>
      <c r="Y9" s="12" t="n">
        <v>6</v>
      </c>
      <c r="Z9" s="12" t="n">
        <v>4</v>
      </c>
      <c r="AA9" s="13" t="n">
        <v>324</v>
      </c>
      <c r="AB9" s="14" t="n">
        <v>81</v>
      </c>
      <c r="AC9" s="14" t="n">
        <v>74.66666666666667</v>
      </c>
      <c r="AD9" s="20" t="n">
        <v>4</v>
      </c>
      <c r="AE9" s="14" t="n">
        <v>104.1042279411765</v>
      </c>
      <c r="AF9" s="16" t="n">
        <v>0.1159920831989394</v>
      </c>
      <c r="AG9" s="17" t="n">
        <v>73.64912817419237</v>
      </c>
      <c r="AH9" s="18" t="n"/>
      <c r="AI9" s="19">
        <f>IF(ISNUMBER(AH9),AG9-AH9,"")</f>
        <v/>
      </c>
      <c r="AK9" s="10" t="inlineStr">
        <is>
          <t>Zay Flowers</t>
        </is>
      </c>
      <c r="AL9" s="11" t="inlineStr">
        <is>
          <t>BAL</t>
        </is>
      </c>
      <c r="AM9" s="11" t="inlineStr">
        <is>
          <t>@ATL</t>
        </is>
      </c>
      <c r="AN9" s="11" t="inlineStr">
        <is>
          <t>Sun 10/11 8:20p</t>
        </is>
      </c>
      <c r="AO9" s="10" t="inlineStr"/>
      <c r="AP9" s="10" t="inlineStr"/>
      <c r="AQ9" s="12" t="n">
        <v>6</v>
      </c>
      <c r="AR9" s="12" t="n">
        <v>3</v>
      </c>
      <c r="AS9" s="13" t="n">
        <v>352</v>
      </c>
      <c r="AT9" s="14" t="n">
        <v>117.3333333333333</v>
      </c>
      <c r="AU9" s="14" t="n">
        <v>117.3333333333333</v>
      </c>
      <c r="AV9" s="20" t="n">
        <v>6</v>
      </c>
      <c r="AW9" s="14" t="n">
        <v>161.2685866013072</v>
      </c>
      <c r="AX9" s="16" t="n">
        <v>0.1220098156372895</v>
      </c>
      <c r="AY9" s="17" t="n">
        <v>92.81672473093458</v>
      </c>
      <c r="AZ9" s="18" t="n"/>
      <c r="BA9" s="19">
        <f>IF(ISNUMBER(AZ9),AY9-AZ9,"")</f>
        <v/>
      </c>
    </row>
    <row r="10">
      <c r="A10" s="10" t="inlineStr">
        <is>
          <t>Lamar Jackson</t>
        </is>
      </c>
      <c r="B10" s="11" t="inlineStr">
        <is>
          <t>BAL</t>
        </is>
      </c>
      <c r="C10" s="11" t="inlineStr">
        <is>
          <t>@ATL</t>
        </is>
      </c>
      <c r="D10" s="11" t="inlineStr">
        <is>
          <t>Sun 10/11 8:20p</t>
        </is>
      </c>
      <c r="E10" s="10" t="inlineStr"/>
      <c r="F10" s="10" t="inlineStr"/>
      <c r="G10" s="12" t="n">
        <v>8</v>
      </c>
      <c r="H10" s="12" t="n">
        <v>4</v>
      </c>
      <c r="I10" s="13" t="n">
        <v>967</v>
      </c>
      <c r="J10" s="14" t="n">
        <v>241.75</v>
      </c>
      <c r="K10" s="14" t="n">
        <v>214.3333333333333</v>
      </c>
      <c r="L10" s="20" t="n">
        <v>8</v>
      </c>
      <c r="M10" s="14" t="n">
        <v>240.0994689542484</v>
      </c>
      <c r="N10" s="16" t="n">
        <v>0.05318638174381185</v>
      </c>
      <c r="O10" s="17" t="n">
        <v>232.3086315280992</v>
      </c>
      <c r="P10" s="18" t="n"/>
      <c r="Q10" s="19">
        <f>IF(ISNUMBER(P10),O10-P10,"")</f>
        <v/>
      </c>
      <c r="S10" s="10" t="inlineStr">
        <is>
          <t>D'Andre Swift</t>
        </is>
      </c>
      <c r="T10" s="11" t="inlineStr">
        <is>
          <t>CHI</t>
        </is>
      </c>
      <c r="U10" s="11" t="inlineStr">
        <is>
          <t>@GB</t>
        </is>
      </c>
      <c r="V10" s="11" t="inlineStr">
        <is>
          <t>Sun 10/11 1p</t>
        </is>
      </c>
      <c r="W10" s="10" t="inlineStr">
        <is>
          <t>+1.5 / 43.5</t>
        </is>
      </c>
      <c r="X10" s="10" t="inlineStr"/>
      <c r="Y10" s="12" t="n">
        <v>7</v>
      </c>
      <c r="Z10" s="12" t="n">
        <v>4</v>
      </c>
      <c r="AA10" s="13" t="n">
        <v>311</v>
      </c>
      <c r="AB10" s="14" t="n">
        <v>77.75</v>
      </c>
      <c r="AC10" s="14" t="n">
        <v>62.33333333333334</v>
      </c>
      <c r="AD10" s="20" t="n">
        <v>4</v>
      </c>
      <c r="AE10" s="14" t="n">
        <v>104.1042279411765</v>
      </c>
      <c r="AF10" s="16" t="n">
        <v>0.1159920831989394</v>
      </c>
      <c r="AG10" s="17" t="n">
        <v>81.33417619535474</v>
      </c>
      <c r="AH10" s="18" t="n"/>
      <c r="AI10" s="19">
        <f>IF(ISNUMBER(AH10),AG10-AH10,"")</f>
        <v/>
      </c>
      <c r="AK10" s="10" t="inlineStr">
        <is>
          <t>Davante Adams</t>
        </is>
      </c>
      <c r="AL10" s="11" t="inlineStr">
        <is>
          <t>LA</t>
        </is>
      </c>
      <c r="AM10" s="11" t="inlineStr">
        <is>
          <t>BUF</t>
        </is>
      </c>
      <c r="AN10" s="11" t="inlineStr">
        <is>
          <t>Mon 10/12 8:15p</t>
        </is>
      </c>
      <c r="AO10" s="10" t="inlineStr"/>
      <c r="AP10" s="10" t="inlineStr"/>
      <c r="AQ10" s="12" t="n">
        <v>4</v>
      </c>
      <c r="AR10" s="12" t="n">
        <v>4</v>
      </c>
      <c r="AS10" s="13" t="n">
        <v>390</v>
      </c>
      <c r="AT10" s="14" t="n">
        <v>97.5</v>
      </c>
      <c r="AU10" s="14" t="n">
        <v>121.3333333333333</v>
      </c>
      <c r="AV10" s="20" t="n">
        <v>10</v>
      </c>
      <c r="AW10" s="14" t="n">
        <v>150.7946691176471</v>
      </c>
      <c r="AX10" s="16" t="n">
        <v>0.04913859829416922</v>
      </c>
      <c r="AY10" s="17" t="n">
        <v>78.16266255580337</v>
      </c>
      <c r="AZ10" s="18" t="n"/>
      <c r="BA10" s="19">
        <f>IF(ISNUMBER(AZ10),AY10-AZ10,"")</f>
        <v/>
      </c>
    </row>
    <row r="11">
      <c r="S11" s="10" t="inlineStr">
        <is>
          <t>Jahmyr Gibbs</t>
        </is>
      </c>
      <c r="T11" s="11" t="inlineStr">
        <is>
          <t>DET</t>
        </is>
      </c>
      <c r="U11" s="11" t="inlineStr">
        <is>
          <t>@ARI</t>
        </is>
      </c>
      <c r="V11" s="11" t="inlineStr">
        <is>
          <t>Sun 10/11 4:25p</t>
        </is>
      </c>
      <c r="W11" s="10" t="inlineStr"/>
      <c r="X11" s="10" t="inlineStr"/>
      <c r="Y11" s="12" t="n">
        <v>9</v>
      </c>
      <c r="Z11" s="12" t="n">
        <v>3</v>
      </c>
      <c r="AA11" s="13" t="n">
        <v>307</v>
      </c>
      <c r="AB11" s="14" t="n">
        <v>102.3333333333333</v>
      </c>
      <c r="AC11" s="14" t="n">
        <v>102.3333333333333</v>
      </c>
      <c r="AD11" s="20" t="n">
        <v>6</v>
      </c>
      <c r="AE11" s="14" t="n">
        <v>101.2512867647059</v>
      </c>
      <c r="AF11" s="16" t="n">
        <v>0.08540869739665991</v>
      </c>
      <c r="AG11" s="17" t="n">
        <v>87.22223973280975</v>
      </c>
      <c r="AH11" s="18" t="n"/>
      <c r="AI11" s="19">
        <f>IF(ISNUMBER(AH11),AG11-AH11,"")</f>
        <v/>
      </c>
    </row>
  </sheetData>
  <mergeCells count="3">
    <mergeCell ref="S5:AI5"/>
    <mergeCell ref="A5:Q5"/>
    <mergeCell ref="AK5:BA5"/>
  </mergeCells>
  <conditionalFormatting sqref="Q7:Q10">
    <cfRule type="expression" priority="1" dxfId="0">
      <formula>AND(ISNUMBER(Q7),Q7&gt;0)</formula>
    </cfRule>
    <cfRule type="expression" priority="2" dxfId="1">
      <formula>AND(ISNUMBER(Q7),Q7&lt;0)</formula>
    </cfRule>
  </conditionalFormatting>
  <conditionalFormatting sqref="AI7:AI11">
    <cfRule type="expression" priority="3" dxfId="0">
      <formula>AND(ISNUMBER(AI7),AI7&gt;0)</formula>
    </cfRule>
    <cfRule type="expression" priority="4" dxfId="1">
      <formula>AND(ISNUMBER(AI7),AI7&lt;0)</formula>
    </cfRule>
  </conditionalFormatting>
  <conditionalFormatting sqref="BA7:BA10">
    <cfRule type="expression" priority="5" dxfId="0">
      <formula>AND(ISNUMBER(BA7),BA7&gt;0)</formula>
    </cfRule>
    <cfRule type="expression" priority="6" dxfId="1">
      <formula>AND(ISNUMBER(BA7),BA7&lt;0)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J15"/>
  <sheetViews>
    <sheetView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5" customWidth="1" min="2" max="2"/>
    <col width="6" customWidth="1" min="3" max="3"/>
    <col width="15" customWidth="1" min="4" max="4"/>
    <col width="12" customWidth="1" min="5" max="5"/>
    <col width="6" customWidth="1" min="6" max="6"/>
    <col width="12" customWidth="1" min="7" max="7"/>
    <col width="36" customWidth="1" min="8" max="8"/>
    <col width="7" customWidth="1" min="9" max="9"/>
    <col width="9" customWidth="1" min="10" max="10"/>
    <col width="8" customWidth="1" min="11" max="11"/>
    <col width="7" customWidth="1" min="12" max="12"/>
    <col width="8" customWidth="1" min="13" max="13"/>
    <col width="7" customWidth="1" min="14" max="14"/>
    <col width="7" customWidth="1" min="15" max="15"/>
    <col width="7" customWidth="1" min="16" max="16"/>
    <col width="9" customWidth="1" min="17" max="17"/>
    <col width="8" customWidth="1" min="18" max="18"/>
    <col width="7" customWidth="1" min="19" max="19"/>
    <col width="7" customWidth="1" min="20" max="20"/>
    <col width="2" customWidth="1" min="21" max="21"/>
    <col width="20" customWidth="1" min="22" max="22"/>
    <col width="5" customWidth="1" min="23" max="23"/>
    <col width="6" customWidth="1" min="24" max="24"/>
    <col width="15" customWidth="1" min="25" max="25"/>
    <col width="12" customWidth="1" min="26" max="26"/>
    <col width="6" customWidth="1" min="27" max="27"/>
    <col width="12" customWidth="1" min="28" max="28"/>
    <col width="36" customWidth="1" min="29" max="29"/>
    <col width="7" customWidth="1" min="30" max="30"/>
    <col width="9" customWidth="1" min="31" max="31"/>
    <col width="8" customWidth="1" min="32" max="32"/>
    <col width="7" customWidth="1" min="33" max="33"/>
    <col width="8" customWidth="1" min="34" max="34"/>
    <col width="7" customWidth="1" min="35" max="35"/>
    <col width="7" customWidth="1" min="36" max="36"/>
    <col width="7" customWidth="1" min="37" max="37"/>
    <col width="9" customWidth="1" min="38" max="38"/>
    <col width="8" customWidth="1" min="39" max="39"/>
    <col width="7" customWidth="1" min="40" max="40"/>
    <col width="7" customWidth="1" min="41" max="41"/>
    <col width="2" customWidth="1" min="42" max="42"/>
    <col width="20" customWidth="1" min="43" max="43"/>
    <col width="5" customWidth="1" min="44" max="44"/>
    <col width="6" customWidth="1" min="45" max="45"/>
    <col width="15" customWidth="1" min="46" max="46"/>
    <col width="12" customWidth="1" min="47" max="47"/>
    <col width="6" customWidth="1" min="48" max="48"/>
    <col width="12" customWidth="1" min="49" max="49"/>
    <col width="36" customWidth="1" min="50" max="50"/>
    <col width="7" customWidth="1" min="51" max="51"/>
    <col width="9" customWidth="1" min="52" max="52"/>
    <col width="8" customWidth="1" min="53" max="53"/>
    <col width="7" customWidth="1" min="54" max="54"/>
    <col width="8" customWidth="1" min="55" max="55"/>
    <col width="7" customWidth="1" min="56" max="56"/>
    <col width="7" customWidth="1" min="57" max="57"/>
    <col width="7" customWidth="1" min="58" max="58"/>
    <col width="9" customWidth="1" min="59" max="59"/>
    <col width="8" customWidth="1" min="60" max="60"/>
    <col width="7" customWidth="1" min="61" max="61"/>
    <col width="7" customWidth="1" min="62" max="62"/>
    <col width="2" customWidth="1" min="63" max="63"/>
  </cols>
  <sheetData>
    <row r="1">
      <c r="A1" s="1" t="inlineStr">
        <is>
          <t>Backups who inherit volume because a starter is out</t>
        </is>
      </c>
    </row>
    <row r="2">
      <c r="A2" s="2" t="inlineStr">
        <is>
          <t>2026 season - weeks 4, 5 - 17 games not yet kicked off  |  stats through week 4  |  built Sun Oct 4 6:55PM ET  |  week 5 injury report not out yet - using week 4's, carried forward at historical odds</t>
        </is>
      </c>
    </row>
    <row r="3">
      <c r="A3" s="3" t="inlineStr">
        <is>
          <t>Backup = QB2 / RB2+ / WR3+ on a team missing a starter with real volume (QB 50%+ of attempts, RB 15%+ of carries, WR 10%+ of targets). Grey italic = starter already missed 3+ straight games (role likely priced in).</t>
        </is>
      </c>
    </row>
    <row r="4">
      <c r="A4" s="3" t="inlineStr">
        <is>
          <t>P(out) = chance the listed starter(s) miss the game. Proj if Out assumes they do; Proj Exp is probability-weighted (Edge uses Proj Exp). Last Gm = volume in the team's most recent game (a sudden drop can mean an in-game injury that is not on the report yet).</t>
        </is>
      </c>
    </row>
    <row r="5" ht="20" customHeight="1">
      <c r="A5" s="4" t="inlineStr">
        <is>
          <t>QB - Passing Yards</t>
        </is>
      </c>
      <c r="V5" s="5" t="inlineStr">
        <is>
          <t>RB - Rushing Yards</t>
        </is>
      </c>
      <c r="AQ5" s="6" t="inlineStr">
        <is>
          <t>WR - Receiving Yards</t>
        </is>
      </c>
    </row>
    <row r="6" ht="40" customHeight="1">
      <c r="A6" s="7" t="inlineStr">
        <is>
          <t>Player</t>
        </is>
      </c>
      <c r="B6" s="7" t="inlineStr">
        <is>
          <t>Tm</t>
        </is>
      </c>
      <c r="C6" s="7" t="inlineStr">
        <is>
          <t>Opp</t>
        </is>
      </c>
      <c r="D6" s="7" t="inlineStr">
        <is>
          <t>Kickoff</t>
        </is>
      </c>
      <c r="E6" s="7" t="inlineStr">
        <is>
          <t>Spr / Tot</t>
        </is>
      </c>
      <c r="F6" s="7" t="inlineStr">
        <is>
          <t>Role</t>
        </is>
      </c>
      <c r="G6" s="7" t="inlineStr">
        <is>
          <t>Inj</t>
        </is>
      </c>
      <c r="H6" s="7" t="inlineStr">
        <is>
          <t>Starter(s) out</t>
        </is>
      </c>
      <c r="I6" s="7" t="inlineStr">
        <is>
          <t>P(out)</t>
        </is>
      </c>
      <c r="J6" s="7" t="inlineStr">
        <is>
          <t>Starter missed (straight)</t>
        </is>
      </c>
      <c r="K6" s="7" t="inlineStr">
        <is>
          <t>Base Att/G</t>
        </is>
      </c>
      <c r="L6" s="7" t="inlineStr">
        <is>
          <t>Last Gm Att</t>
        </is>
      </c>
      <c r="M6" s="7" t="inlineStr">
        <is>
          <t>Proj Att/G</t>
        </is>
      </c>
      <c r="N6" s="7" t="inlineStr">
        <is>
          <t>Yds/Att</t>
        </is>
      </c>
      <c r="O6" s="7" t="inlineStr">
        <is>
          <t>Opp Rk</t>
        </is>
      </c>
      <c r="P6" s="7" t="inlineStr">
        <is>
          <t>vs Lg</t>
        </is>
      </c>
      <c r="Q6" s="7" t="inlineStr">
        <is>
          <t>Proj if Out</t>
        </is>
      </c>
      <c r="R6" s="7" t="inlineStr">
        <is>
          <t>Proj Exp</t>
        </is>
      </c>
      <c r="S6" s="7" t="inlineStr">
        <is>
          <t>Line</t>
        </is>
      </c>
      <c r="T6" s="7" t="inlineStr">
        <is>
          <t>Edge</t>
        </is>
      </c>
      <c r="V6" s="8" t="inlineStr">
        <is>
          <t>Player</t>
        </is>
      </c>
      <c r="W6" s="8" t="inlineStr">
        <is>
          <t>Tm</t>
        </is>
      </c>
      <c r="X6" s="8" t="inlineStr">
        <is>
          <t>Opp</t>
        </is>
      </c>
      <c r="Y6" s="8" t="inlineStr">
        <is>
          <t>Kickoff</t>
        </is>
      </c>
      <c r="Z6" s="8" t="inlineStr">
        <is>
          <t>Spr / Tot</t>
        </is>
      </c>
      <c r="AA6" s="8" t="inlineStr">
        <is>
          <t>Role</t>
        </is>
      </c>
      <c r="AB6" s="8" t="inlineStr">
        <is>
          <t>Inj</t>
        </is>
      </c>
      <c r="AC6" s="8" t="inlineStr">
        <is>
          <t>Starter(s) out</t>
        </is>
      </c>
      <c r="AD6" s="8" t="inlineStr">
        <is>
          <t>P(out)</t>
        </is>
      </c>
      <c r="AE6" s="8" t="inlineStr">
        <is>
          <t>Starter missed (straight)</t>
        </is>
      </c>
      <c r="AF6" s="8" t="inlineStr">
        <is>
          <t>Base Car/G</t>
        </is>
      </c>
      <c r="AG6" s="8" t="inlineStr">
        <is>
          <t>Last Gm Car</t>
        </is>
      </c>
      <c r="AH6" s="8" t="inlineStr">
        <is>
          <t>Proj Car/G</t>
        </is>
      </c>
      <c r="AI6" s="8" t="inlineStr">
        <is>
          <t>Yds/Car</t>
        </is>
      </c>
      <c r="AJ6" s="8" t="inlineStr">
        <is>
          <t>Opp Rk</t>
        </is>
      </c>
      <c r="AK6" s="8" t="inlineStr">
        <is>
          <t>vs Lg</t>
        </is>
      </c>
      <c r="AL6" s="8" t="inlineStr">
        <is>
          <t>Proj if Out</t>
        </is>
      </c>
      <c r="AM6" s="8" t="inlineStr">
        <is>
          <t>Proj Exp</t>
        </is>
      </c>
      <c r="AN6" s="8" t="inlineStr">
        <is>
          <t>Line</t>
        </is>
      </c>
      <c r="AO6" s="8" t="inlineStr">
        <is>
          <t>Edge</t>
        </is>
      </c>
      <c r="AQ6" s="9" t="inlineStr">
        <is>
          <t>Player</t>
        </is>
      </c>
      <c r="AR6" s="9" t="inlineStr">
        <is>
          <t>Tm</t>
        </is>
      </c>
      <c r="AS6" s="9" t="inlineStr">
        <is>
          <t>Opp</t>
        </is>
      </c>
      <c r="AT6" s="9" t="inlineStr">
        <is>
          <t>Kickoff</t>
        </is>
      </c>
      <c r="AU6" s="9" t="inlineStr">
        <is>
          <t>Spr / Tot</t>
        </is>
      </c>
      <c r="AV6" s="9" t="inlineStr">
        <is>
          <t>Role</t>
        </is>
      </c>
      <c r="AW6" s="9" t="inlineStr">
        <is>
          <t>Inj</t>
        </is>
      </c>
      <c r="AX6" s="9" t="inlineStr">
        <is>
          <t>Starter(s) out</t>
        </is>
      </c>
      <c r="AY6" s="9" t="inlineStr">
        <is>
          <t>P(out)</t>
        </is>
      </c>
      <c r="AZ6" s="9" t="inlineStr">
        <is>
          <t>Starter missed (straight)</t>
        </is>
      </c>
      <c r="BA6" s="9" t="inlineStr">
        <is>
          <t>Base Tgt/G</t>
        </is>
      </c>
      <c r="BB6" s="9" t="inlineStr">
        <is>
          <t>Last Gm Tgt</t>
        </is>
      </c>
      <c r="BC6" s="9" t="inlineStr">
        <is>
          <t>Proj Tgt/G</t>
        </is>
      </c>
      <c r="BD6" s="9" t="inlineStr">
        <is>
          <t>Yds/Tgt</t>
        </is>
      </c>
      <c r="BE6" s="9" t="inlineStr">
        <is>
          <t>Opp Rk</t>
        </is>
      </c>
      <c r="BF6" s="9" t="inlineStr">
        <is>
          <t>vs Lg</t>
        </is>
      </c>
      <c r="BG6" s="9" t="inlineStr">
        <is>
          <t>Proj if Out</t>
        </is>
      </c>
      <c r="BH6" s="9" t="inlineStr">
        <is>
          <t>Proj Exp</t>
        </is>
      </c>
      <c r="BI6" s="9" t="inlineStr">
        <is>
          <t>Line</t>
        </is>
      </c>
      <c r="BJ6" s="9" t="inlineStr">
        <is>
          <t>Edge</t>
        </is>
      </c>
    </row>
    <row r="7">
      <c r="A7" s="10" t="inlineStr">
        <is>
          <t>Jalon Daniels</t>
        </is>
      </c>
      <c r="B7" s="11" t="inlineStr">
        <is>
          <t>TB</t>
        </is>
      </c>
      <c r="C7" s="11" t="inlineStr">
        <is>
          <t>@DAL</t>
        </is>
      </c>
      <c r="D7" s="11" t="inlineStr">
        <is>
          <t>Thu 10/8 8:15p</t>
        </is>
      </c>
      <c r="E7" s="10" t="inlineStr">
        <is>
          <t>+10 / 47.5</t>
        </is>
      </c>
      <c r="F7" s="11" t="inlineStr">
        <is>
          <t>QB2</t>
        </is>
      </c>
      <c r="G7" s="10" t="inlineStr"/>
      <c r="H7" s="10" t="inlineStr">
        <is>
          <t>Baker Mayfield OUT (wk4 rpt)</t>
        </is>
      </c>
      <c r="I7" s="21" t="n">
        <v>0.67</v>
      </c>
      <c r="J7" s="12" t="n">
        <v>1</v>
      </c>
      <c r="K7" s="14" t="n">
        <v>7.622273047149895</v>
      </c>
      <c r="L7" s="12" t="n">
        <v>27</v>
      </c>
      <c r="M7" s="14" t="n">
        <v>30.23037273791303</v>
      </c>
      <c r="N7" s="22" t="n">
        <v>6.338470892232863</v>
      </c>
      <c r="O7" s="20" t="n">
        <v>6</v>
      </c>
      <c r="P7" s="16" t="n">
        <v>0.07156587624141464</v>
      </c>
      <c r="Q7" s="12" t="n">
        <v>201.8991236419365</v>
      </c>
      <c r="R7" s="17" t="n">
        <v>152.0716427526086</v>
      </c>
      <c r="S7" s="18" t="n"/>
      <c r="T7" s="19">
        <f>IF(ISNUMBER(S7),R7-S7,"")</f>
        <v/>
      </c>
      <c r="V7" s="10" t="inlineStr">
        <is>
          <t>Ollie Gordon II</t>
        </is>
      </c>
      <c r="W7" s="11" t="inlineStr">
        <is>
          <t>MIA</t>
        </is>
      </c>
      <c r="X7" s="11" t="inlineStr">
        <is>
          <t>CIN</t>
        </is>
      </c>
      <c r="Y7" s="11" t="inlineStr">
        <is>
          <t>Sun 10/11 1p</t>
        </is>
      </c>
      <c r="Z7" s="10" t="inlineStr">
        <is>
          <t>+7.5 / 45.5</t>
        </is>
      </c>
      <c r="AA7" s="11" t="inlineStr">
        <is>
          <t>RB2</t>
        </is>
      </c>
      <c r="AB7" s="10" t="inlineStr"/>
      <c r="AC7" s="10" t="inlineStr">
        <is>
          <t>De'Von Achane IR/RES</t>
        </is>
      </c>
      <c r="AD7" s="21" t="n">
        <v>1</v>
      </c>
      <c r="AE7" s="12" t="n">
        <v>0</v>
      </c>
      <c r="AF7" s="14" t="n">
        <v>6.755083996463307</v>
      </c>
      <c r="AG7" s="12" t="n">
        <v>17</v>
      </c>
      <c r="AH7" s="14" t="n">
        <v>13.45868107222186</v>
      </c>
      <c r="AI7" s="22" t="n">
        <v>3.366151859027586</v>
      </c>
      <c r="AJ7" s="12" t="n">
        <v>15</v>
      </c>
      <c r="AK7" s="16" t="n">
        <v>0.02544003781322113</v>
      </c>
      <c r="AL7" s="12" t="n">
        <v>46.1683652351956</v>
      </c>
      <c r="AM7" s="17" t="n">
        <v>46.1683652351956</v>
      </c>
      <c r="AN7" s="18" t="n"/>
      <c r="AO7" s="19">
        <f>IF(ISNUMBER(AN7),AM7-AN7,"")</f>
        <v/>
      </c>
      <c r="AQ7" s="10" t="inlineStr">
        <is>
          <t>Laquon Treadwell</t>
        </is>
      </c>
      <c r="AR7" s="11" t="inlineStr">
        <is>
          <t>IND</t>
        </is>
      </c>
      <c r="AS7" s="11" t="inlineStr">
        <is>
          <t>@PIT</t>
        </is>
      </c>
      <c r="AT7" s="11" t="inlineStr">
        <is>
          <t>Sun 10/11 1p</t>
        </is>
      </c>
      <c r="AU7" s="10" t="inlineStr">
        <is>
          <t>+1.5 / 43.5</t>
        </is>
      </c>
      <c r="AV7" s="11" t="inlineStr">
        <is>
          <t>WR4</t>
        </is>
      </c>
      <c r="AW7" s="10" t="inlineStr"/>
      <c r="AX7" s="10" t="inlineStr">
        <is>
          <t>Alec Pierce IR/RES; Keenan Allen Q, sat (wk4 rpt)</t>
        </is>
      </c>
      <c r="AY7" s="21" t="n">
        <v>1</v>
      </c>
      <c r="AZ7" s="12" t="n">
        <v>1</v>
      </c>
      <c r="BA7" s="14" t="n">
        <v>2.761894749489367</v>
      </c>
      <c r="BB7" s="12" t="n">
        <v>6</v>
      </c>
      <c r="BC7" s="14" t="n">
        <v>4.507139395540862</v>
      </c>
      <c r="BD7" s="22" t="n">
        <v>8.651192956909611</v>
      </c>
      <c r="BE7" s="12" t="n">
        <v>11</v>
      </c>
      <c r="BF7" s="16" t="n">
        <v>0.04508693683960074</v>
      </c>
      <c r="BG7" s="12" t="n">
        <v>40.31065945916055</v>
      </c>
      <c r="BH7" s="17" t="n">
        <v>33.74366291790169</v>
      </c>
      <c r="BI7" s="18" t="n"/>
      <c r="BJ7" s="19">
        <f>IF(ISNUMBER(BI7),BH7-BI7,"")</f>
        <v/>
      </c>
    </row>
    <row r="8">
      <c r="A8" s="10" t="inlineStr">
        <is>
          <t>Marcus Mariota</t>
        </is>
      </c>
      <c r="B8" s="11" t="inlineStr">
        <is>
          <t>WAS</t>
        </is>
      </c>
      <c r="C8" s="11" t="inlineStr">
        <is>
          <t>NYG</t>
        </is>
      </c>
      <c r="D8" s="11" t="inlineStr">
        <is>
          <t>Sun 10/11 1p</t>
        </is>
      </c>
      <c r="E8" s="10" t="inlineStr">
        <is>
          <t>-3.5 / 44.5</t>
        </is>
      </c>
      <c r="F8" s="11" t="inlineStr">
        <is>
          <t>QB2</t>
        </is>
      </c>
      <c r="G8" s="10" t="inlineStr"/>
      <c r="H8" s="10" t="inlineStr">
        <is>
          <t>Jayden Daniels OUT (wk4 rpt)</t>
        </is>
      </c>
      <c r="I8" s="21" t="n">
        <v>0.67</v>
      </c>
      <c r="J8" s="12" t="n">
        <v>2</v>
      </c>
      <c r="K8" s="14" t="n">
        <v>12.50243608644062</v>
      </c>
      <c r="L8" s="12" t="n">
        <v>4</v>
      </c>
      <c r="M8" s="14" t="n">
        <v>24.15522759690376</v>
      </c>
      <c r="N8" s="22" t="n">
        <v>7.270598758286857</v>
      </c>
      <c r="O8" s="12" t="n">
        <v>21</v>
      </c>
      <c r="P8" s="16" t="n">
        <v>-0.02896143391504113</v>
      </c>
      <c r="Q8" s="12" t="n">
        <v>171.8082480408618</v>
      </c>
      <c r="R8" s="17" t="n">
        <v>144.4570224548085</v>
      </c>
      <c r="S8" s="18" t="n"/>
      <c r="T8" s="19">
        <f>IF(ISNUMBER(S8),R8-S8,"")</f>
        <v/>
      </c>
      <c r="V8" s="10" t="inlineStr">
        <is>
          <t>George Holani</t>
        </is>
      </c>
      <c r="W8" s="11" t="inlineStr">
        <is>
          <t>SEA</t>
        </is>
      </c>
      <c r="X8" s="11" t="inlineStr">
        <is>
          <t>SF</t>
        </is>
      </c>
      <c r="Y8" s="11" t="inlineStr">
        <is>
          <t>Sun 10/11 4:25p</t>
        </is>
      </c>
      <c r="Z8" s="10" t="inlineStr"/>
      <c r="AA8" s="11" t="inlineStr">
        <is>
          <t>RB2</t>
        </is>
      </c>
      <c r="AB8" s="10" t="inlineStr"/>
      <c r="AC8" s="10" t="inlineStr">
        <is>
          <t>Jadarian Price IR/RES</t>
        </is>
      </c>
      <c r="AD8" s="21" t="n">
        <v>1</v>
      </c>
      <c r="AE8" s="12" t="n">
        <v>0</v>
      </c>
      <c r="AF8" s="14" t="n">
        <v>5.002155172413794</v>
      </c>
      <c r="AG8" s="12" t="n">
        <v>3</v>
      </c>
      <c r="AH8" s="14" t="n">
        <v>8.390711902113459</v>
      </c>
      <c r="AI8" s="22" t="n">
        <v>3.947657513960184</v>
      </c>
      <c r="AJ8" s="12" t="n">
        <v>16</v>
      </c>
      <c r="AK8" s="16" t="n">
        <v>0.02292973914323904</v>
      </c>
      <c r="AL8" s="12" t="n">
        <v>33.69329449678482</v>
      </c>
      <c r="AM8" s="17" t="n">
        <v>33.69329449678482</v>
      </c>
      <c r="AN8" s="18" t="n"/>
      <c r="AO8" s="19">
        <f>IF(ISNUMBER(AN8),AM8-AN8,"")</f>
        <v/>
      </c>
      <c r="AQ8" s="10" t="inlineStr">
        <is>
          <t>Ashton Dulin</t>
        </is>
      </c>
      <c r="AR8" s="11" t="inlineStr">
        <is>
          <t>IND</t>
        </is>
      </c>
      <c r="AS8" s="11" t="inlineStr">
        <is>
          <t>@PIT</t>
        </is>
      </c>
      <c r="AT8" s="11" t="inlineStr">
        <is>
          <t>Sun 10/11 1p</t>
        </is>
      </c>
      <c r="AU8" s="10" t="inlineStr">
        <is>
          <t>+1.5 / 43.5</t>
        </is>
      </c>
      <c r="AV8" s="11" t="inlineStr">
        <is>
          <t>WR5</t>
        </is>
      </c>
      <c r="AW8" s="10" t="inlineStr"/>
      <c r="AX8" s="10" t="inlineStr">
        <is>
          <t>Alec Pierce IR/RES; Keenan Allen Q, sat (wk4 rpt)</t>
        </is>
      </c>
      <c r="AY8" s="21" t="n">
        <v>1</v>
      </c>
      <c r="AZ8" s="12" t="n">
        <v>1</v>
      </c>
      <c r="BA8" s="14" t="n">
        <v>1.757569386038688</v>
      </c>
      <c r="BB8" s="12" t="n">
        <v>6</v>
      </c>
      <c r="BC8" s="14" t="n">
        <v>2.864123105941741</v>
      </c>
      <c r="BD8" s="22" t="n">
        <v>7.951067382498072</v>
      </c>
      <c r="BE8" s="12" t="n">
        <v>11</v>
      </c>
      <c r="BF8" s="16" t="n">
        <v>0.04508693683960074</v>
      </c>
      <c r="BG8" s="12" t="n">
        <v>23.54290386438286</v>
      </c>
      <c r="BH8" s="17" t="n">
        <v>19.36101209104375</v>
      </c>
      <c r="BI8" s="18" t="n"/>
      <c r="BJ8" s="19">
        <f>IF(ISNUMBER(BI8),BH8-BI8,"")</f>
        <v/>
      </c>
    </row>
    <row r="9">
      <c r="A9" s="10" t="inlineStr">
        <is>
          <t>Tyson Bagent</t>
        </is>
      </c>
      <c r="B9" s="11" t="inlineStr">
        <is>
          <t>CHI</t>
        </is>
      </c>
      <c r="C9" s="11" t="inlineStr">
        <is>
          <t>@GB</t>
        </is>
      </c>
      <c r="D9" s="11" t="inlineStr">
        <is>
          <t>Sun 10/11 1p</t>
        </is>
      </c>
      <c r="E9" s="10" t="inlineStr">
        <is>
          <t>+1.5 / 43.5</t>
        </is>
      </c>
      <c r="F9" s="11" t="inlineStr">
        <is>
          <t>QB2</t>
        </is>
      </c>
      <c r="G9" s="10" t="inlineStr"/>
      <c r="H9" s="10" t="inlineStr">
        <is>
          <t>Caleb Williams OUT (wk4 rpt)</t>
        </is>
      </c>
      <c r="I9" s="21" t="n">
        <v>0.67</v>
      </c>
      <c r="J9" s="12" t="n">
        <v>2</v>
      </c>
      <c r="K9" s="14" t="n">
        <v>10.70787617554859</v>
      </c>
      <c r="L9" s="12" t="n">
        <v>34</v>
      </c>
      <c r="M9" s="14" t="n">
        <v>23.63045619441411</v>
      </c>
      <c r="N9" s="22" t="n">
        <v>7.396844675709884</v>
      </c>
      <c r="O9" s="23" t="n">
        <v>28</v>
      </c>
      <c r="P9" s="16" t="n">
        <v>-0.07992176183059563</v>
      </c>
      <c r="Q9" s="12" t="n">
        <v>164.3136217260649</v>
      </c>
      <c r="R9" s="17" t="n">
        <v>134.6608951994658</v>
      </c>
      <c r="S9" s="18" t="n"/>
      <c r="T9" s="19">
        <f>IF(ISNUMBER(S9),R9-S9,"")</f>
        <v/>
      </c>
      <c r="V9" s="10" t="inlineStr">
        <is>
          <t>Kendre Miller</t>
        </is>
      </c>
      <c r="W9" s="11" t="inlineStr">
        <is>
          <t>NO</t>
        </is>
      </c>
      <c r="X9" s="11" t="inlineStr">
        <is>
          <t>MIN</t>
        </is>
      </c>
      <c r="Y9" s="11" t="inlineStr">
        <is>
          <t>Sun 10/11 1p</t>
        </is>
      </c>
      <c r="Z9" s="10" t="inlineStr">
        <is>
          <t>+1.5 / 44.5</t>
        </is>
      </c>
      <c r="AA9" s="11" t="inlineStr">
        <is>
          <t>RB2</t>
        </is>
      </c>
      <c r="AB9" s="10" t="inlineStr"/>
      <c r="AC9" s="10" t="inlineStr">
        <is>
          <t>Travis Etienne IR/RES</t>
        </is>
      </c>
      <c r="AD9" s="21" t="n">
        <v>1</v>
      </c>
      <c r="AE9" s="12" t="n">
        <v>0</v>
      </c>
      <c r="AF9" s="14" t="n">
        <v>4.335201149425288</v>
      </c>
      <c r="AG9" s="12" t="n">
        <v>4</v>
      </c>
      <c r="AH9" s="14" t="n">
        <v>8.382134269964144</v>
      </c>
      <c r="AI9" s="22" t="n">
        <v>4.124356490451149</v>
      </c>
      <c r="AJ9" s="23" t="n">
        <v>23</v>
      </c>
      <c r="AK9" s="16" t="n">
        <v>-0.04671490114877908</v>
      </c>
      <c r="AL9" s="12" t="n">
        <v>33.35967740190337</v>
      </c>
      <c r="AM9" s="17" t="n">
        <v>33.35967740190337</v>
      </c>
      <c r="AN9" s="18" t="n"/>
      <c r="AO9" s="19">
        <f>IF(ISNUMBER(AN9),AM9-AN9,"")</f>
        <v/>
      </c>
      <c r="AQ9" s="10" t="inlineStr">
        <is>
          <t>Makai Lemon</t>
        </is>
      </c>
      <c r="AR9" s="11" t="inlineStr">
        <is>
          <t>PHI</t>
        </is>
      </c>
      <c r="AS9" s="11" t="inlineStr">
        <is>
          <t>@JAX</t>
        </is>
      </c>
      <c r="AT9" s="11" t="inlineStr">
        <is>
          <t>Sun 10/11 9:30a</t>
        </is>
      </c>
      <c r="AU9" s="10" t="inlineStr">
        <is>
          <t>+3.5 / 42.5</t>
        </is>
      </c>
      <c r="AV9" s="11" t="inlineStr">
        <is>
          <t>WR3</t>
        </is>
      </c>
      <c r="AW9" s="10" t="inlineStr"/>
      <c r="AX9" s="10" t="inlineStr">
        <is>
          <t>DeVonta Smith OUT (wk4 rpt)</t>
        </is>
      </c>
      <c r="AY9" s="21" t="n">
        <v>0.67</v>
      </c>
      <c r="AZ9" s="12" t="n">
        <v>1</v>
      </c>
      <c r="BA9" s="14" t="n">
        <v>4.026570777953341</v>
      </c>
      <c r="BB9" s="12" t="n">
        <v>6</v>
      </c>
      <c r="BC9" s="14" t="n">
        <v>6.259223884702486</v>
      </c>
      <c r="BD9" s="22" t="n">
        <v>6.967469832770729</v>
      </c>
      <c r="BE9" s="15" t="n">
        <v>1</v>
      </c>
      <c r="BF9" s="16" t="n">
        <v>0.1637310434738821</v>
      </c>
      <c r="BG9" s="12" t="n">
        <v>48.96630379725462</v>
      </c>
      <c r="BH9" s="17" t="n">
        <v>43.20246232693587</v>
      </c>
      <c r="BI9" s="18" t="n"/>
      <c r="BJ9" s="19">
        <f>IF(ISNUMBER(BI9),BH9-BI9,"")</f>
        <v/>
      </c>
    </row>
    <row r="10">
      <c r="V10" s="10" t="inlineStr">
        <is>
          <t>Kendre Miller</t>
        </is>
      </c>
      <c r="W10" s="11" t="inlineStr">
        <is>
          <t>NO</t>
        </is>
      </c>
      <c r="X10" s="11" t="inlineStr">
        <is>
          <t>ATL</t>
        </is>
      </c>
      <c r="Y10" s="11" t="inlineStr">
        <is>
          <t>Mon 10/5 8:15p</t>
        </is>
      </c>
      <c r="Z10" s="10" t="inlineStr">
        <is>
          <t>-1.5 / 47.5</t>
        </is>
      </c>
      <c r="AA10" s="11" t="inlineStr">
        <is>
          <t>RB2</t>
        </is>
      </c>
      <c r="AB10" s="10" t="inlineStr"/>
      <c r="AC10" s="10" t="inlineStr">
        <is>
          <t>Travis Etienne IR/RES</t>
        </is>
      </c>
      <c r="AD10" s="21" t="n">
        <v>1</v>
      </c>
      <c r="AE10" s="12" t="n">
        <v>0</v>
      </c>
      <c r="AF10" s="14" t="n">
        <v>4.335201149425288</v>
      </c>
      <c r="AG10" s="12" t="n">
        <v>4</v>
      </c>
      <c r="AH10" s="14" t="n">
        <v>8.382134269964144</v>
      </c>
      <c r="AI10" s="22" t="n">
        <v>4.124356490451149</v>
      </c>
      <c r="AJ10" s="23" t="n">
        <v>29</v>
      </c>
      <c r="AK10" s="16" t="n">
        <v>-0.1331751487547651</v>
      </c>
      <c r="AL10" s="12" t="n">
        <v>31.11792033075124</v>
      </c>
      <c r="AM10" s="17" t="n">
        <v>31.11792033075124</v>
      </c>
      <c r="AN10" s="18" t="n"/>
      <c r="AO10" s="19">
        <f>IF(ISNUMBER(AN10),AM10-AN10,"")</f>
        <v/>
      </c>
      <c r="AQ10" s="10" t="inlineStr">
        <is>
          <t>Darius Cooper</t>
        </is>
      </c>
      <c r="AR10" s="11" t="inlineStr">
        <is>
          <t>PHI</t>
        </is>
      </c>
      <c r="AS10" s="11" t="inlineStr">
        <is>
          <t>@JAX</t>
        </is>
      </c>
      <c r="AT10" s="11" t="inlineStr">
        <is>
          <t>Sun 10/11 9:30a</t>
        </is>
      </c>
      <c r="AU10" s="10" t="inlineStr">
        <is>
          <t>+3.5 / 42.5</t>
        </is>
      </c>
      <c r="AV10" s="11" t="inlineStr">
        <is>
          <t>WR5</t>
        </is>
      </c>
      <c r="AW10" s="10" t="inlineStr"/>
      <c r="AX10" s="10" t="inlineStr">
        <is>
          <t>DeVonta Smith OUT (wk4 rpt)</t>
        </is>
      </c>
      <c r="AY10" s="21" t="n">
        <v>0.67</v>
      </c>
      <c r="AZ10" s="12" t="n">
        <v>1</v>
      </c>
      <c r="BA10" s="14" t="n">
        <v>2.684380518635561</v>
      </c>
      <c r="BB10" s="12" t="n">
        <v>7</v>
      </c>
      <c r="BC10" s="14" t="n">
        <v>3.886750726154157</v>
      </c>
      <c r="BD10" s="22" t="n">
        <v>7.691980996760494</v>
      </c>
      <c r="BE10" s="15" t="n">
        <v>1</v>
      </c>
      <c r="BF10" s="16" t="n">
        <v>0.1637310434738821</v>
      </c>
      <c r="BG10" s="12" t="n">
        <v>33.5680899826944</v>
      </c>
      <c r="BH10" s="17" t="n">
        <v>30.14126370194589</v>
      </c>
      <c r="BI10" s="18" t="n"/>
      <c r="BJ10" s="19">
        <f>IF(ISNUMBER(BI10),BH10-BI10,"")</f>
        <v/>
      </c>
    </row>
    <row r="11">
      <c r="V11" s="10" t="inlineStr">
        <is>
          <t>AJ Dillon</t>
        </is>
      </c>
      <c r="W11" s="11" t="inlineStr">
        <is>
          <t>CAR</t>
        </is>
      </c>
      <c r="X11" s="11" t="inlineStr">
        <is>
          <t>DET</t>
        </is>
      </c>
      <c r="Y11" s="11" t="inlineStr">
        <is>
          <t>Sun 10/4 8:20p</t>
        </is>
      </c>
      <c r="Z11" s="10" t="inlineStr">
        <is>
          <t>+3.5 / 51.5</t>
        </is>
      </c>
      <c r="AA11" s="11" t="inlineStr">
        <is>
          <t>RB2</t>
        </is>
      </c>
      <c r="AB11" s="10" t="inlineStr"/>
      <c r="AC11" s="10" t="inlineStr">
        <is>
          <t>Jonathon Brooks IR/RES</t>
        </is>
      </c>
      <c r="AD11" s="21" t="n">
        <v>1</v>
      </c>
      <c r="AE11" s="12" t="n">
        <v>1</v>
      </c>
      <c r="AF11" s="14" t="n">
        <v>4.390118373648996</v>
      </c>
      <c r="AG11" s="12" t="n">
        <v>4</v>
      </c>
      <c r="AH11" s="14" t="n">
        <v>5.487797401115059</v>
      </c>
      <c r="AI11" s="22" t="n">
        <v>4.272890224454022</v>
      </c>
      <c r="AJ11" s="12" t="n">
        <v>22</v>
      </c>
      <c r="AK11" s="16" t="n">
        <v>-0.03165091959668265</v>
      </c>
      <c r="AL11" s="12" t="n">
        <v>22.89212485401955</v>
      </c>
      <c r="AM11" s="17" t="n">
        <v>22.89212485401955</v>
      </c>
      <c r="AN11" s="18" t="n"/>
      <c r="AO11" s="19">
        <f>IF(ISNUMBER(AN11),AM11-AN11,"")</f>
        <v/>
      </c>
      <c r="AQ11" s="10" t="inlineStr">
        <is>
          <t>Isaiah Williams</t>
        </is>
      </c>
      <c r="AR11" s="11" t="inlineStr">
        <is>
          <t>NYJ</t>
        </is>
      </c>
      <c r="AS11" s="11" t="inlineStr">
        <is>
          <t>CLE</t>
        </is>
      </c>
      <c r="AT11" s="11" t="inlineStr">
        <is>
          <t>Sun 10/11 1p</t>
        </is>
      </c>
      <c r="AU11" s="10" t="inlineStr">
        <is>
          <t>-1.5 / 40.5</t>
        </is>
      </c>
      <c r="AV11" s="11" t="inlineStr">
        <is>
          <t>WR3</t>
        </is>
      </c>
      <c r="AW11" s="10" t="inlineStr"/>
      <c r="AX11" s="10" t="inlineStr">
        <is>
          <t>Adonai Mitchell OUT (wk4 rpt)</t>
        </is>
      </c>
      <c r="AY11" s="21" t="n">
        <v>0.67</v>
      </c>
      <c r="AZ11" s="12" t="n">
        <v>2</v>
      </c>
      <c r="BA11" s="14" t="n">
        <v>3.166457680250784</v>
      </c>
      <c r="BB11" s="12" t="n">
        <v>3</v>
      </c>
      <c r="BC11" s="14" t="n">
        <v>4.1835049700899</v>
      </c>
      <c r="BD11" s="22" t="n">
        <v>7.343305009118069</v>
      </c>
      <c r="BE11" s="12" t="n">
        <v>17</v>
      </c>
      <c r="BF11" s="16" t="n">
        <v>-0.00803484667585197</v>
      </c>
      <c r="BG11" s="12" t="n">
        <v>30.53562559742495</v>
      </c>
      <c r="BH11" s="17" t="n">
        <v>28.08587642580565</v>
      </c>
      <c r="BI11" s="18" t="n"/>
      <c r="BJ11" s="19">
        <f>IF(ISNUMBER(BI11),BH11-BI11,"")</f>
        <v/>
      </c>
    </row>
    <row r="12">
      <c r="V12" s="10" t="inlineStr">
        <is>
          <t>Braelon Allen</t>
        </is>
      </c>
      <c r="W12" s="11" t="inlineStr">
        <is>
          <t>NYJ</t>
        </is>
      </c>
      <c r="X12" s="11" t="inlineStr">
        <is>
          <t>CLE</t>
        </is>
      </c>
      <c r="Y12" s="11" t="inlineStr">
        <is>
          <t>Sun 10/11 1p</t>
        </is>
      </c>
      <c r="Z12" s="10" t="inlineStr">
        <is>
          <t>-1.5 / 40.5</t>
        </is>
      </c>
      <c r="AA12" s="11" t="inlineStr">
        <is>
          <t>RB2</t>
        </is>
      </c>
      <c r="AB12" s="10" t="inlineStr"/>
      <c r="AC12" s="10" t="inlineStr">
        <is>
          <t>Breece Hall OUT (wk4 rpt)</t>
        </is>
      </c>
      <c r="AD12" s="21" t="n">
        <v>0.67</v>
      </c>
      <c r="AE12" s="12" t="n">
        <v>1</v>
      </c>
      <c r="AF12" s="14" t="n">
        <v>8.527093596059114</v>
      </c>
      <c r="AG12" s="12" t="n">
        <v>14</v>
      </c>
      <c r="AH12" s="14" t="n">
        <v>17.35141981502735</v>
      </c>
      <c r="AI12" s="22" t="n">
        <v>4.089394404091332</v>
      </c>
      <c r="AJ12" s="20" t="n">
        <v>9</v>
      </c>
      <c r="AK12" s="16" t="n">
        <v>0.05942858409657936</v>
      </c>
      <c r="AL12" s="12" t="n">
        <v>74.11944567127601</v>
      </c>
      <c r="AM12" s="17" t="n">
        <v>61.68024025374732</v>
      </c>
      <c r="AN12" s="18" t="n"/>
      <c r="AO12" s="19">
        <f>IF(ISNUMBER(AN12),AM12-AN12,"")</f>
        <v/>
      </c>
      <c r="AQ12" s="10" t="inlineStr">
        <is>
          <t>Jauan Jennings</t>
        </is>
      </c>
      <c r="AR12" s="11" t="inlineStr">
        <is>
          <t>MIN</t>
        </is>
      </c>
      <c r="AS12" s="11" t="inlineStr">
        <is>
          <t>@NO</t>
        </is>
      </c>
      <c r="AT12" s="11" t="inlineStr">
        <is>
          <t>Sun 10/11 1p</t>
        </is>
      </c>
      <c r="AU12" s="10" t="inlineStr">
        <is>
          <t>-1.5 / 44.5</t>
        </is>
      </c>
      <c r="AV12" s="11" t="inlineStr">
        <is>
          <t>WR3</t>
        </is>
      </c>
      <c r="AW12" s="10" t="inlineStr"/>
      <c r="AX12" s="10" t="inlineStr">
        <is>
          <t>Justin Jefferson OUT (wk4 rpt)</t>
        </is>
      </c>
      <c r="AY12" s="21" t="n">
        <v>0.67</v>
      </c>
      <c r="AZ12" s="12" t="n">
        <v>0</v>
      </c>
      <c r="BA12" s="14" t="n">
        <v>1.195380854348945</v>
      </c>
      <c r="BB12" s="12" t="n">
        <v>2</v>
      </c>
      <c r="BC12" s="14" t="n">
        <v>2.6300732403997</v>
      </c>
      <c r="BD12" s="22" t="n">
        <v>7.23466797595782</v>
      </c>
      <c r="BE12" s="23" t="n">
        <v>31</v>
      </c>
      <c r="BF12" s="16" t="n">
        <v>-0.140552398040354</v>
      </c>
      <c r="BG12" s="12" t="n">
        <v>17.0219142979372</v>
      </c>
      <c r="BH12" s="17" t="n">
        <v>13.95774123493508</v>
      </c>
      <c r="BI12" s="18" t="n"/>
      <c r="BJ12" s="19">
        <f>IF(ISNUMBER(BI12),BH12-BI12,"")</f>
        <v/>
      </c>
    </row>
    <row r="13">
      <c r="V13" s="10" t="inlineStr">
        <is>
          <t>Kaytron Allen</t>
        </is>
      </c>
      <c r="W13" s="11" t="inlineStr">
        <is>
          <t>WAS</t>
        </is>
      </c>
      <c r="X13" s="11" t="inlineStr">
        <is>
          <t>NYG</t>
        </is>
      </c>
      <c r="Y13" s="11" t="inlineStr">
        <is>
          <t>Sun 10/11 1p</t>
        </is>
      </c>
      <c r="Z13" s="10" t="inlineStr">
        <is>
          <t>-3.5 / 44.5</t>
        </is>
      </c>
      <c r="AA13" s="11" t="inlineStr">
        <is>
          <t>RB3</t>
        </is>
      </c>
      <c r="AB13" s="10" t="inlineStr"/>
      <c r="AC13" s="10" t="inlineStr">
        <is>
          <t>Rachaad White OUT (wk4 rpt)</t>
        </is>
      </c>
      <c r="AD13" s="21" t="n">
        <v>0.67</v>
      </c>
      <c r="AE13" s="12" t="n">
        <v>1</v>
      </c>
      <c r="AF13" s="14" t="n">
        <v>2.877515237538616</v>
      </c>
      <c r="AG13" s="12" t="n">
        <v>3</v>
      </c>
      <c r="AH13" s="14" t="n">
        <v>3.955382783858457</v>
      </c>
      <c r="AI13" s="22" t="n">
        <v>4.151705261863025</v>
      </c>
      <c r="AJ13" s="20" t="n">
        <v>5</v>
      </c>
      <c r="AK13" s="16" t="n">
        <v>0.1124608056630061</v>
      </c>
      <c r="AL13" s="12" t="n">
        <v>17.80667190081741</v>
      </c>
      <c r="AM13" s="17" t="n">
        <v>16.20536869362843</v>
      </c>
      <c r="AN13" s="18" t="n"/>
      <c r="AO13" s="19">
        <f>IF(ISNUMBER(AN13),AM13-AN13,"")</f>
        <v/>
      </c>
      <c r="AQ13" s="10" t="inlineStr">
        <is>
          <t>Antonio Williams</t>
        </is>
      </c>
      <c r="AR13" s="11" t="inlineStr">
        <is>
          <t>WAS</t>
        </is>
      </c>
      <c r="AS13" s="11" t="inlineStr">
        <is>
          <t>NYG</t>
        </is>
      </c>
      <c r="AT13" s="11" t="inlineStr">
        <is>
          <t>Sun 10/11 1p</t>
        </is>
      </c>
      <c r="AU13" s="10" t="inlineStr">
        <is>
          <t>-3.5 / 44.5</t>
        </is>
      </c>
      <c r="AV13" s="11" t="inlineStr">
        <is>
          <t>WR3</t>
        </is>
      </c>
      <c r="AW13" s="10" t="inlineStr"/>
      <c r="AX13" s="10" t="inlineStr">
        <is>
          <t>Terry McLaurin Q, sat (wk4 rpt)</t>
        </is>
      </c>
      <c r="AY13" s="21" t="n">
        <v>0.52</v>
      </c>
      <c r="AZ13" s="12" t="n">
        <v>1</v>
      </c>
      <c r="BA13" s="14" t="n">
        <v>4.674905487455607</v>
      </c>
      <c r="BB13" s="12" t="n">
        <v>8</v>
      </c>
      <c r="BC13" s="14" t="n">
        <v>6.238402732737549</v>
      </c>
      <c r="BD13" s="22" t="n">
        <v>7.49509899665068</v>
      </c>
      <c r="BE13" s="12" t="n">
        <v>14</v>
      </c>
      <c r="BF13" s="16" t="n">
        <v>0.006371060718169286</v>
      </c>
      <c r="BG13" s="12" t="n">
        <v>46.98086695876373</v>
      </c>
      <c r="BH13" s="17" t="n">
        <v>41.32907748242121</v>
      </c>
      <c r="BI13" s="18" t="n"/>
      <c r="BJ13" s="19">
        <f>IF(ISNUMBER(BI13),BH13-BI13,"")</f>
        <v/>
      </c>
    </row>
    <row r="14">
      <c r="AQ14" s="10" t="inlineStr">
        <is>
          <t>Brycen Tremayne</t>
        </is>
      </c>
      <c r="AR14" s="11" t="inlineStr">
        <is>
          <t>CAR</t>
        </is>
      </c>
      <c r="AS14" s="11" t="inlineStr">
        <is>
          <t>DET</t>
        </is>
      </c>
      <c r="AT14" s="11" t="inlineStr">
        <is>
          <t>Sun 10/4 8:20p</t>
        </is>
      </c>
      <c r="AU14" s="10" t="inlineStr">
        <is>
          <t>+3.5 / 51.5</t>
        </is>
      </c>
      <c r="AV14" s="11" t="inlineStr">
        <is>
          <t>WR3</t>
        </is>
      </c>
      <c r="AW14" s="10" t="inlineStr"/>
      <c r="AX14" s="10" t="inlineStr">
        <is>
          <t>Jalen Coker Q (28%)</t>
        </is>
      </c>
      <c r="AY14" s="21" t="n">
        <v>0.28</v>
      </c>
      <c r="AZ14" s="12" t="n">
        <v>0</v>
      </c>
      <c r="BA14" s="14" t="n">
        <v>1.862787356321839</v>
      </c>
      <c r="BB14" s="12" t="n">
        <v>6</v>
      </c>
      <c r="BC14" s="14" t="n">
        <v>3.310552767067558</v>
      </c>
      <c r="BD14" s="22" t="n">
        <v>8.768919387537345</v>
      </c>
      <c r="BE14" s="20" t="n">
        <v>5</v>
      </c>
      <c r="BF14" s="16" t="n">
        <v>0.1222826547924794</v>
      </c>
      <c r="BG14" s="12" t="n">
        <v>31.69236672413454</v>
      </c>
      <c r="BH14" s="17" t="n">
        <v>21.7134166210889</v>
      </c>
      <c r="BI14" s="18" t="n"/>
      <c r="BJ14" s="19">
        <f>IF(ISNUMBER(BI14),BH14-BI14,"")</f>
        <v/>
      </c>
    </row>
    <row r="15">
      <c r="AQ15" s="10" t="inlineStr">
        <is>
          <t>John Metchie III</t>
        </is>
      </c>
      <c r="AR15" s="11" t="inlineStr">
        <is>
          <t>CAR</t>
        </is>
      </c>
      <c r="AS15" s="11" t="inlineStr">
        <is>
          <t>DET</t>
        </is>
      </c>
      <c r="AT15" s="11" t="inlineStr">
        <is>
          <t>Sun 10/4 8:20p</t>
        </is>
      </c>
      <c r="AU15" s="10" t="inlineStr">
        <is>
          <t>+3.5 / 51.5</t>
        </is>
      </c>
      <c r="AV15" s="11" t="inlineStr">
        <is>
          <t>WR4</t>
        </is>
      </c>
      <c r="AW15" s="10" t="inlineStr"/>
      <c r="AX15" s="10" t="inlineStr">
        <is>
          <t>Jalen Coker Q (28%)</t>
        </is>
      </c>
      <c r="AY15" s="21" t="n">
        <v>0.28</v>
      </c>
      <c r="AZ15" s="12" t="n">
        <v>0</v>
      </c>
      <c r="BA15" s="14" t="n">
        <v>1.552322796934866</v>
      </c>
      <c r="BB15" s="12" t="n">
        <v>5</v>
      </c>
      <c r="BC15" s="14" t="n">
        <v>2.390023537743709</v>
      </c>
      <c r="BD15" s="22" t="n">
        <v>6.572159578520323</v>
      </c>
      <c r="BE15" s="20" t="n">
        <v>5</v>
      </c>
      <c r="BF15" s="16" t="n">
        <v>0.1222826547924794</v>
      </c>
      <c r="BG15" s="12" t="n">
        <v>17.14819283310743</v>
      </c>
      <c r="BH15" s="17" t="n">
        <v>12.82068785194748</v>
      </c>
      <c r="BI15" s="18" t="n"/>
      <c r="BJ15" s="19">
        <f>IF(ISNUMBER(BI15),BH15-BI15,"")</f>
        <v/>
      </c>
    </row>
  </sheetData>
  <mergeCells count="3">
    <mergeCell ref="A5:T5"/>
    <mergeCell ref="V5:AO5"/>
    <mergeCell ref="AQ5:BJ5"/>
  </mergeCells>
  <conditionalFormatting sqref="T7:T9">
    <cfRule type="expression" priority="1" dxfId="0">
      <formula>AND(ISNUMBER(T7),T7&gt;0)</formula>
    </cfRule>
    <cfRule type="expression" priority="2" dxfId="1">
      <formula>AND(ISNUMBER(T7),T7&lt;0)</formula>
    </cfRule>
  </conditionalFormatting>
  <conditionalFormatting sqref="AO7:AO13">
    <cfRule type="expression" priority="3" dxfId="0">
      <formula>AND(ISNUMBER(AO7),AO7&gt;0)</formula>
    </cfRule>
    <cfRule type="expression" priority="4" dxfId="1">
      <formula>AND(ISNUMBER(AO7),AO7&lt;0)</formula>
    </cfRule>
  </conditionalFormatting>
  <conditionalFormatting sqref="BJ7:BJ15">
    <cfRule type="expression" priority="5" dxfId="0">
      <formula>AND(ISNUMBER(BJ7),BJ7&gt;0)</formula>
    </cfRule>
    <cfRule type="expression" priority="6" dxfId="1">
      <formula>AND(ISNUMBER(BJ7),BJ7&lt;0)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2026-10-04T22:55:11Z</dcterms:created>
  <dcterms:modified xsi:type="dcterms:W3CDTF">2026-10-04T22:55:11Z</dcterms:modified>
</cp:coreProperties>
</file>